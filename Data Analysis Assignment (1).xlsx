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Pivot Table 3" sheetId="2" r:id="rId6"/>
    <sheet state="visible" name="dash board" sheetId="3" r:id="rId7"/>
    <sheet state="visible" name="Pivot Table 2" sheetId="4" r:id="rId8"/>
    <sheet state="visible" name="Pivot Table 1" sheetId="5" r:id="rId9"/>
    <sheet state="visible" name="summary" sheetId="6" r:id="rId10"/>
    <sheet state="visible" name="monthly sales" sheetId="7" r:id="rId11"/>
    <sheet state="visible" name="city sales" sheetId="8" r:id="rId12"/>
    <sheet state="visible" name="product sales" sheetId="9" r:id="rId13"/>
  </sheets>
  <definedNames/>
  <calcPr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<sst xmlns="http://schemas.openxmlformats.org/spreadsheetml/2006/main" count="92" uniqueCount="44">
  <si>
    <t>Order ID</t>
  </si>
  <si>
    <t>Date</t>
  </si>
  <si>
    <t>City</t>
  </si>
  <si>
    <t>Product</t>
  </si>
  <si>
    <t>Quantity</t>
  </si>
  <si>
    <t>Unit Price</t>
  </si>
  <si>
    <t>Total Sales</t>
  </si>
  <si>
    <t>Lahore</t>
  </si>
  <si>
    <t>Embroidered Shawl</t>
  </si>
  <si>
    <t>Multan</t>
  </si>
  <si>
    <t>Handmade Bag</t>
  </si>
  <si>
    <t>Karachi</t>
  </si>
  <si>
    <t>Khussa</t>
  </si>
  <si>
    <t>Islamabad</t>
  </si>
  <si>
    <t>Blue Pottery Vase</t>
  </si>
  <si>
    <t>SUM of Total Sales</t>
  </si>
  <si>
    <t>Grand Total</t>
  </si>
  <si>
    <t>Product sales pivot table</t>
  </si>
  <si>
    <t>Metric</t>
  </si>
  <si>
    <t>Result</t>
  </si>
  <si>
    <t>Number of Orders</t>
  </si>
  <si>
    <t>Total unit sold</t>
  </si>
  <si>
    <t>Average Order Value</t>
  </si>
  <si>
    <t xml:space="preserve">Product </t>
  </si>
  <si>
    <t>Highest orders</t>
  </si>
  <si>
    <t>lowest orders</t>
  </si>
  <si>
    <t>Lahore Sales</t>
  </si>
  <si>
    <t>Sales analysis dashboard</t>
  </si>
  <si>
    <t>Total sales</t>
  </si>
  <si>
    <t>Average order value</t>
  </si>
  <si>
    <t>Month</t>
  </si>
  <si>
    <t>Total sales(Rs)</t>
  </si>
  <si>
    <t>july</t>
  </si>
  <si>
    <t>august</t>
  </si>
  <si>
    <t xml:space="preserve">September </t>
  </si>
  <si>
    <t xml:space="preserve">Products </t>
  </si>
  <si>
    <t>lahore</t>
  </si>
  <si>
    <t>multan</t>
  </si>
  <si>
    <t>karachi</t>
  </si>
  <si>
    <t xml:space="preserve">Islamabad </t>
  </si>
  <si>
    <t>Date - Month</t>
  </si>
  <si>
    <t>Jul</t>
  </si>
  <si>
    <t>Aug</t>
  </si>
  <si>
    <t>Sep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</si>
</sst>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 h:mm:ss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2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3" numFmtId="2" xfId="0" applyAlignment="1" applyFont="1" applyNumberForma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2" xfId="0" applyAlignment="1" applyFont="1" applyNumberFormat="1">
      <alignment readingOrder="0"/>
    </xf>
    <xf borderId="0" fillId="0" fontId="2" numFmtId="2" xfId="0" applyFont="1" applyNumberFormat="1"/>
    <xf borderId="0" fillId="0" fontId="5" numFmtId="0" xfId="0" applyAlignment="1" applyFont="1">
      <alignment readingOrder="0"/>
    </xf>
    <xf borderId="0" fillId="0" fontId="5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3'!$A$2:$A$4</c:f>
            </c:strRef>
          </c:cat>
          <c:val>
            <c:numRef>
              <c:f>'Pivot Table 3'!$B$2:$B$4</c:f>
              <c:numCache/>
            </c:numRef>
          </c:val>
          <c:smooth val="0"/>
        </c:ser>
        <c:axId val="998755243"/>
        <c:axId val="1336768471"/>
      </c:lineChart>
      <c:catAx>
        <c:axId val="9987552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6768471"/>
      </c:catAx>
      <c:valAx>
        <c:axId val="1336768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75524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1'!$A$3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'Pivot Table 1'!$B$3:$Z$3</c:f>
              <c:numCache/>
            </c:numRef>
          </c:val>
        </c:ser>
        <c:ser>
          <c:idx val="1"/>
          <c:order val="1"/>
          <c:tx>
            <c:strRef>
              <c:f>'Pivot Table 1'!$A$4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'Pivot Table 1'!$B$4:$Z$4</c:f>
              <c:numCache/>
            </c:numRef>
          </c:val>
        </c:ser>
        <c:ser>
          <c:idx val="2"/>
          <c:order val="2"/>
          <c:tx>
            <c:strRef>
              <c:f>'Pivot Table 1'!$A$5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'Pivot Table 1'!$B$5:$Z$5</c:f>
              <c:numCache/>
            </c:numRef>
          </c:val>
        </c:ser>
        <c:ser>
          <c:idx val="3"/>
          <c:order val="3"/>
          <c:tx>
            <c:strRef>
              <c:f>'Pivot Table 1'!$A$6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'Pivot Table 1'!$B$6:$Z$6</c:f>
              <c:numCache/>
            </c:numRef>
          </c:val>
        </c:ser>
        <c:axId val="1950888650"/>
        <c:axId val="1169882882"/>
      </c:barChart>
      <c:catAx>
        <c:axId val="1950888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9882882"/>
      </c:catAx>
      <c:valAx>
        <c:axId val="11698828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08886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3'!$B$1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3'!$A$2:$A$4</c:f>
            </c:strRef>
          </c:cat>
          <c:val>
            <c:numRef>
              <c:f>'Pivot Table 3'!$B$2:$B$4</c:f>
              <c:numCache/>
            </c:numRef>
          </c:val>
          <c:smooth val="0"/>
        </c:ser>
        <c:axId val="1603729524"/>
        <c:axId val="972708667"/>
      </c:lineChart>
      <c:catAx>
        <c:axId val="16037295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-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708667"/>
      </c:catAx>
      <c:valAx>
        <c:axId val="972708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7295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city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'city sales'!$B$1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'city sales'!$A$2:$A$5</c:f>
            </c:strRef>
          </c:cat>
          <c:val>
            <c:numRef>
              <c:f>'city sales'!$B$2:$B$5</c:f>
              <c:numCache/>
            </c:numRef>
          </c:val>
        </c:ser>
        <c:axId val="264373830"/>
        <c:axId val="2055995366"/>
      </c:barChart>
      <c:catAx>
        <c:axId val="2643738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5995366"/>
      </c:catAx>
      <c:valAx>
        <c:axId val="20559953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3738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Blue Pottery Vase, Embroidered Shawl, Handmade Bag and Khussa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1'!$A$3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'Pivot Table 1'!$B$3:$Z$3</c:f>
              <c:numCache/>
            </c:numRef>
          </c:val>
        </c:ser>
        <c:ser>
          <c:idx val="1"/>
          <c:order val="1"/>
          <c:tx>
            <c:strRef>
              <c:f>'Pivot Table 1'!$A$4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val>
            <c:numRef>
              <c:f>'Pivot Table 1'!$B$4:$Z$4</c:f>
              <c:numCache/>
            </c:numRef>
          </c:val>
        </c:ser>
        <c:ser>
          <c:idx val="2"/>
          <c:order val="2"/>
          <c:tx>
            <c:strRef>
              <c:f>'Pivot Table 1'!$A$5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val>
            <c:numRef>
              <c:f>'Pivot Table 1'!$B$5:$Z$5</c:f>
              <c:numCache/>
            </c:numRef>
          </c:val>
        </c:ser>
        <c:ser>
          <c:idx val="3"/>
          <c:order val="3"/>
          <c:tx>
            <c:strRef>
              <c:f>'Pivot Table 1'!$A$6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val>
            <c:numRef>
              <c:f>'Pivot Table 1'!$B$6:$Z$6</c:f>
              <c:numCache/>
            </c:numRef>
          </c:val>
        </c:ser>
        <c:axId val="1028952994"/>
        <c:axId val="670488887"/>
      </c:barChart>
      <c:catAx>
        <c:axId val="10289529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0488887"/>
      </c:catAx>
      <c:valAx>
        <c:axId val="6704888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9529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city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'city sales'!$B$1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'city sales'!$A$2:$A$5</c:f>
            </c:strRef>
          </c:cat>
          <c:val>
            <c:numRef>
              <c:f>'city sales'!$B$2:$B$5</c:f>
              <c:numCache/>
            </c:numRef>
          </c:val>
        </c:ser>
        <c:axId val="726855034"/>
        <c:axId val="628888821"/>
      </c:barChart>
      <c:catAx>
        <c:axId val="726855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8888821"/>
      </c:catAx>
      <c:valAx>
        <c:axId val="628888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6855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1</xdr:row>
      <xdr:rowOff>57150</xdr:rowOff>
    </xdr:from>
    <xdr:ext cx="676275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4</xdr:row>
      <xdr:rowOff>142875</xdr:rowOff>
    </xdr:from>
    <xdr:ext cx="3933825" cy="3105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114300</xdr:colOff>
      <xdr:row>20</xdr:row>
      <xdr:rowOff>114300</xdr:rowOff>
    </xdr:from>
    <xdr:ext cx="3733800" cy="20764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95250</xdr:colOff>
      <xdr:row>4</xdr:row>
      <xdr:rowOff>142875</xdr:rowOff>
    </xdr:from>
    <xdr:ext cx="4219575" cy="31051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1219200</xdr:colOff>
      <xdr:row>1</xdr:row>
      <xdr:rowOff>57150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1</xdr:row>
      <xdr:rowOff>57150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9" sheet="Data"/>
  </cacheSource>
  <cacheFields>
    <cacheField name="Order ID" numFmtId="0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</sharedItems>
    </cacheField>
    <cacheField name="Date" numFmtId="164">
      <sharedItems containsSemiMixedTypes="0" containsDate="1" containsString="0">
        <d v="2026-07-02T00:00:00Z"/>
        <d v="2026-07-04T00:00:00Z"/>
        <d v="2026-07-06T00:00:00Z"/>
        <d v="2026-07-08T00:00:00Z"/>
        <d v="2026-07-10T00:00:00Z"/>
        <d v="2026-07-12T00:00:00Z"/>
        <d v="2026-07-14T00:00:00Z"/>
        <d v="2026-07-16T00:00:00Z"/>
        <d v="2026-07-18T00:00:00Z"/>
        <d v="2026-07-20T00:00:00Z"/>
        <d v="2026-08-02T00:00:00Z"/>
        <d v="2026-08-04T00:00:00Z"/>
        <d v="2026-08-06T00:00:00Z"/>
        <d v="2026-08-08T00:00:00Z"/>
        <d v="2026-08-10T00:00:00Z"/>
        <d v="2026-08-12T00:00:00Z"/>
        <d v="2026-09-02T00:00:00Z"/>
        <d v="2026-09-04T00:00:00Z"/>
      </sharedItems>
    </cacheField>
    <cacheField name="City" numFmtId="0">
      <sharedItems>
        <s v="Lahore"/>
        <s v="Multan"/>
        <s v="Karachi"/>
        <s v="Islamabad"/>
      </sharedItems>
    </cacheField>
    <cacheField name="Product" numFmtId="0">
      <sharedItems>
        <s v="Embroidered Shawl"/>
        <s v="Handmade Bag"/>
        <s v="Khussa"/>
        <s v="Blue Pottery Vase"/>
      </sharedItems>
    </cacheField>
    <cacheField name="Quantity" numFmtId="0">
      <sharedItems containsSemiMixedTypes="0" containsString="0" containsNumber="1" containsInteger="1">
        <n v="2.0"/>
        <n v="1.0"/>
        <n v="3.0"/>
      </sharedItems>
    </cacheField>
    <cacheField name="Unit Price" numFmtId="0">
      <sharedItems containsSemiMixedTypes="0" containsString="0" containsNumber="1" containsInteger="1">
        <n v="2500.0"/>
        <n v="3000.0"/>
        <n v="1500.0"/>
        <n v="2200.0"/>
      </sharedItems>
    </cacheField>
    <cacheField name="Total Sales" numFmtId="0">
      <sharedItems containsSemiMixedTypes="0" containsString="0" containsNumber="1" containsInteger="1">
        <n v="5000.0"/>
        <n v="3000.0"/>
        <n v="2200.0"/>
        <n v="6000.0"/>
        <n v="2500.0"/>
        <n v="6600.0"/>
        <n v="1500.0"/>
        <n v="7500.0"/>
        <n v="44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9" sheet="Data"/>
  </cacheSource>
  <cacheFields>
    <cacheField name="Order ID" numFmtId="0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</sharedItems>
    </cacheField>
    <cacheField name="Date" numFmtId="164">
      <sharedItems containsSemiMixedTypes="0" containsNonDate="0" containsDate="1" containsString="0">
        <d v="2026-07-02T00:00:00Z"/>
        <d v="2026-07-04T00:00:00Z"/>
        <d v="2026-07-06T00:00:00Z"/>
        <d v="2026-07-08T00:00:00Z"/>
        <d v="2026-07-10T00:00:00Z"/>
        <d v="2026-07-12T00:00:00Z"/>
        <d v="2026-07-14T00:00:00Z"/>
        <d v="2026-07-16T00:00:00Z"/>
        <d v="2026-07-18T00:00:00Z"/>
        <d v="2026-07-20T00:00:00Z"/>
        <d v="2026-08-02T00:00:00Z"/>
        <d v="2026-08-04T00:00:00Z"/>
        <d v="2026-08-06T00:00:00Z"/>
        <d v="2026-08-08T00:00:00Z"/>
        <d v="2026-08-10T00:00:00Z"/>
        <d v="2026-08-12T00:00:00Z"/>
        <d v="2026-09-02T00:00:00Z"/>
        <d v="2026-09-04T00:00:00Z"/>
      </sharedItems>
      <fieldGroup par="7"/>
    </cacheField>
    <cacheField name="City" numFmtId="0">
      <sharedItems>
        <s v="Lahore"/>
        <s v="Multan"/>
        <s v="Karachi"/>
        <s v="Islamabad"/>
      </sharedItems>
    </cacheField>
    <cacheField name="Product" numFmtId="0">
      <sharedItems>
        <s v="Embroidered Shawl"/>
        <s v="Handmade Bag"/>
        <s v="Khussa"/>
        <s v="Blue Pottery Vase"/>
      </sharedItems>
    </cacheField>
    <cacheField name="Quantity" numFmtId="0">
      <sharedItems containsSemiMixedTypes="0" containsString="0" containsNumber="1" containsInteger="1">
        <n v="2.0"/>
        <n v="1.0"/>
        <n v="3.0"/>
      </sharedItems>
    </cacheField>
    <cacheField name="Unit Price" numFmtId="0">
      <sharedItems containsSemiMixedTypes="0" containsString="0" containsNumber="1" containsInteger="1">
        <n v="2500.0"/>
        <n v="3000.0"/>
        <n v="1500.0"/>
        <n v="2200.0"/>
      </sharedItems>
    </cacheField>
    <cacheField name="Total Sales" numFmtId="0">
      <sharedItems containsSemiMixedTypes="0" containsString="0" containsNumber="1" containsInteger="1">
        <n v="5000.0"/>
        <n v="3000.0"/>
        <n v="2200.0"/>
        <n v="6000.0"/>
        <n v="2500.0"/>
        <n v="6600.0"/>
        <n v="1500.0"/>
        <n v="7500.0"/>
        <n v="4400.0"/>
      </sharedItems>
    </cacheField>
    <cacheField name="date2" databaseField="0">
      <fieldGroup base="1">
        <rangePr autoStart="0" autoEnd="0" groupBy="months" startDate="2026-07-02T00:00:00Z" endDate="2026-09-05T00:00:00Z"/>
        <groupItems>
          <s v="&lt;07/02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/05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1" dataCaption="" compact="0" compactData="0">
  <location ref="A1:B5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7"/>
  </rowFields>
  <dataFields>
    <dataField name="SUM of Total Sales" fld="6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6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ity" axis="axisRow" compact="0" outline="0" multipleItemSelectionAllowed="1" showAll="0" sortType="ascending">
      <items>
        <item x="3"/>
        <item x="2"/>
        <item x="0"/>
        <item x="1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2"/>
  </rowFields>
  <dataFields>
    <dataField name="SUM of Total Sales" fld="6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2:B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t="default"/>
      </items>
    </pivotField>
    <pivotField name="Product 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>
    <field x="3"/>
  </rowFields>
  <dataFields>
    <dataField name="SUM of Total Sales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101.0</v>
      </c>
      <c r="B2" s="4">
        <v>46205.0</v>
      </c>
      <c r="C2" s="3" t="s">
        <v>7</v>
      </c>
      <c r="D2" s="3" t="s">
        <v>8</v>
      </c>
      <c r="E2" s="3">
        <v>2.0</v>
      </c>
      <c r="F2" s="3">
        <v>2500.0</v>
      </c>
      <c r="G2" s="3">
        <v>5000.0</v>
      </c>
    </row>
    <row r="3">
      <c r="A3" s="3">
        <v>102.0</v>
      </c>
      <c r="B3" s="4">
        <v>46207.0</v>
      </c>
      <c r="C3" s="3" t="s">
        <v>9</v>
      </c>
      <c r="D3" s="3" t="s">
        <v>10</v>
      </c>
      <c r="E3" s="3">
        <v>1.0</v>
      </c>
      <c r="F3" s="3">
        <v>3000.0</v>
      </c>
      <c r="G3" s="3">
        <v>3000.0</v>
      </c>
    </row>
    <row r="4">
      <c r="A4" s="3">
        <v>103.0</v>
      </c>
      <c r="B4" s="4">
        <v>46209.0</v>
      </c>
      <c r="C4" s="3" t="s">
        <v>11</v>
      </c>
      <c r="D4" s="3" t="s">
        <v>12</v>
      </c>
      <c r="E4" s="3">
        <v>2.0</v>
      </c>
      <c r="F4" s="3">
        <v>1500.0</v>
      </c>
      <c r="G4" s="3">
        <v>3000.0</v>
      </c>
    </row>
    <row r="5">
      <c r="A5" s="3">
        <v>104.0</v>
      </c>
      <c r="B5" s="4">
        <v>46211.0</v>
      </c>
      <c r="C5" s="3" t="s">
        <v>13</v>
      </c>
      <c r="D5" s="3" t="s">
        <v>14</v>
      </c>
      <c r="E5" s="3">
        <v>1.0</v>
      </c>
      <c r="F5" s="3">
        <v>2200.0</v>
      </c>
      <c r="G5" s="3">
        <v>2200.0</v>
      </c>
    </row>
    <row r="6">
      <c r="A6" s="3">
        <v>105.0</v>
      </c>
      <c r="B6" s="4">
        <v>46213.0</v>
      </c>
      <c r="C6" s="3" t="s">
        <v>7</v>
      </c>
      <c r="D6" s="3" t="s">
        <v>10</v>
      </c>
      <c r="E6" s="3">
        <v>2.0</v>
      </c>
      <c r="F6" s="3">
        <v>3000.0</v>
      </c>
      <c r="G6" s="3">
        <v>6000.0</v>
      </c>
    </row>
    <row r="7">
      <c r="A7" s="3">
        <v>106.0</v>
      </c>
      <c r="B7" s="4">
        <v>46215.0</v>
      </c>
      <c r="C7" s="3" t="s">
        <v>9</v>
      </c>
      <c r="D7" s="3" t="s">
        <v>8</v>
      </c>
      <c r="E7" s="3">
        <v>1.0</v>
      </c>
      <c r="F7" s="3">
        <v>2500.0</v>
      </c>
      <c r="G7" s="3">
        <v>2500.0</v>
      </c>
    </row>
    <row r="8">
      <c r="A8" s="3">
        <v>107.0</v>
      </c>
      <c r="B8" s="4">
        <v>46217.0</v>
      </c>
      <c r="C8" s="3" t="s">
        <v>11</v>
      </c>
      <c r="D8" s="3" t="s">
        <v>14</v>
      </c>
      <c r="E8" s="3">
        <v>3.0</v>
      </c>
      <c r="F8" s="3">
        <v>2200.0</v>
      </c>
      <c r="G8" s="3">
        <v>6600.0</v>
      </c>
    </row>
    <row r="9">
      <c r="A9" s="3">
        <v>108.0</v>
      </c>
      <c r="B9" s="4">
        <v>46219.0</v>
      </c>
      <c r="C9" s="3" t="s">
        <v>7</v>
      </c>
      <c r="D9" s="3" t="s">
        <v>12</v>
      </c>
      <c r="E9" s="3">
        <v>1.0</v>
      </c>
      <c r="F9" s="3">
        <v>1500.0</v>
      </c>
      <c r="G9" s="3">
        <v>1500.0</v>
      </c>
    </row>
    <row r="10">
      <c r="A10" s="3">
        <v>109.0</v>
      </c>
      <c r="B10" s="4">
        <v>46221.0</v>
      </c>
      <c r="C10" s="3" t="s">
        <v>13</v>
      </c>
      <c r="D10" s="3" t="s">
        <v>10</v>
      </c>
      <c r="E10" s="3">
        <v>1.0</v>
      </c>
      <c r="F10" s="3">
        <v>3000.0</v>
      </c>
      <c r="G10" s="3">
        <v>3000.0</v>
      </c>
    </row>
    <row r="11">
      <c r="A11" s="3">
        <v>110.0</v>
      </c>
      <c r="B11" s="4">
        <v>46223.0</v>
      </c>
      <c r="C11" s="3" t="s">
        <v>9</v>
      </c>
      <c r="D11" s="3" t="s">
        <v>12</v>
      </c>
      <c r="E11" s="3">
        <v>2.0</v>
      </c>
      <c r="F11" s="3">
        <v>1500.0</v>
      </c>
      <c r="G11" s="3">
        <v>3000.0</v>
      </c>
    </row>
    <row r="12">
      <c r="A12" s="3">
        <v>111.0</v>
      </c>
      <c r="B12" s="4">
        <v>46236.0</v>
      </c>
      <c r="C12" s="3" t="s">
        <v>7</v>
      </c>
      <c r="D12" s="3" t="s">
        <v>8</v>
      </c>
      <c r="E12" s="3">
        <v>3.0</v>
      </c>
      <c r="F12" s="3">
        <v>2500.0</v>
      </c>
      <c r="G12" s="3">
        <v>7500.0</v>
      </c>
    </row>
    <row r="13">
      <c r="A13" s="3">
        <v>112.0</v>
      </c>
      <c r="B13" s="4">
        <v>46238.0</v>
      </c>
      <c r="C13" s="3" t="s">
        <v>11</v>
      </c>
      <c r="D13" s="3" t="s">
        <v>10</v>
      </c>
      <c r="E13" s="3">
        <v>2.0</v>
      </c>
      <c r="F13" s="3">
        <v>3000.0</v>
      </c>
      <c r="G13" s="3">
        <v>6000.0</v>
      </c>
    </row>
    <row r="14">
      <c r="A14" s="3">
        <v>113.0</v>
      </c>
      <c r="B14" s="4">
        <v>46240.0</v>
      </c>
      <c r="C14" s="3" t="s">
        <v>9</v>
      </c>
      <c r="D14" s="3" t="s">
        <v>14</v>
      </c>
      <c r="E14" s="3">
        <v>2.0</v>
      </c>
      <c r="F14" s="3">
        <v>2200.0</v>
      </c>
      <c r="G14" s="3">
        <v>4400.0</v>
      </c>
    </row>
    <row r="15">
      <c r="A15" s="3">
        <v>114.0</v>
      </c>
      <c r="B15" s="4">
        <v>46242.0</v>
      </c>
      <c r="C15" s="3" t="s">
        <v>13</v>
      </c>
      <c r="D15" s="3" t="s">
        <v>12</v>
      </c>
      <c r="E15" s="3">
        <v>2.0</v>
      </c>
      <c r="F15" s="3">
        <v>1500.0</v>
      </c>
      <c r="G15" s="3">
        <v>3000.0</v>
      </c>
    </row>
    <row r="16">
      <c r="A16" s="3">
        <v>115.0</v>
      </c>
      <c r="B16" s="4">
        <v>46244.0</v>
      </c>
      <c r="C16" s="3" t="s">
        <v>7</v>
      </c>
      <c r="D16" s="3" t="s">
        <v>14</v>
      </c>
      <c r="E16" s="3">
        <v>1.0</v>
      </c>
      <c r="F16" s="3">
        <v>2200.0</v>
      </c>
      <c r="G16" s="3">
        <v>2200.0</v>
      </c>
    </row>
    <row r="17">
      <c r="A17" s="3">
        <v>116.0</v>
      </c>
      <c r="B17" s="4">
        <v>46246.0</v>
      </c>
      <c r="C17" s="3" t="s">
        <v>11</v>
      </c>
      <c r="D17" s="3" t="s">
        <v>8</v>
      </c>
      <c r="E17" s="3">
        <v>2.0</v>
      </c>
      <c r="F17" s="3">
        <v>2500.0</v>
      </c>
      <c r="G17" s="3">
        <v>5000.0</v>
      </c>
    </row>
    <row r="18">
      <c r="A18" s="3">
        <v>117.0</v>
      </c>
      <c r="B18" s="4">
        <v>46267.0</v>
      </c>
      <c r="C18" s="3" t="s">
        <v>9</v>
      </c>
      <c r="D18" s="3" t="s">
        <v>10</v>
      </c>
      <c r="E18" s="3">
        <v>2.0</v>
      </c>
      <c r="F18" s="3">
        <v>3000.0</v>
      </c>
      <c r="G18" s="3">
        <v>6000.0</v>
      </c>
    </row>
    <row r="19">
      <c r="A19" s="3">
        <v>118.0</v>
      </c>
      <c r="B19" s="4">
        <v>46269.0</v>
      </c>
      <c r="C19" s="3" t="s">
        <v>7</v>
      </c>
      <c r="D19" s="3" t="s">
        <v>8</v>
      </c>
      <c r="E19" s="3">
        <v>1.0</v>
      </c>
      <c r="F19" s="3">
        <v>2500.0</v>
      </c>
      <c r="G19" s="3">
        <v>2500.0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</cols>
  <sheetData>
    <row r="1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3">
      <c r="A3" s="3" t="s">
        <v>28</v>
      </c>
      <c r="B3" s="5">
        <f>SUM(Data!G2:G19)</f>
        <v>72400</v>
      </c>
    </row>
    <row r="4">
      <c r="A4" s="3" t="s">
        <v>29</v>
      </c>
      <c r="B4" s="5">
        <f>AVERAGE(Data!G2:G19)</f>
        <v>4022.222222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25"/>
  </cols>
  <sheetData>
    <row r="1">
      <c r="A1" s="3" t="s">
        <v>17</v>
      </c>
    </row>
    <row r="2"/>
    <row r="3"/>
    <row r="4"/>
    <row r="5"/>
    <row r="6"/>
    <row r="7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18</v>
      </c>
      <c r="B1" s="6" t="s">
        <v>19</v>
      </c>
      <c r="C1" s="7"/>
    </row>
    <row r="2">
      <c r="A2" s="8" t="s">
        <v>20</v>
      </c>
      <c r="B2" s="9">
        <f>COUNTA(Data!A2:A19)</f>
        <v>18</v>
      </c>
      <c r="C2" s="7"/>
    </row>
    <row r="3">
      <c r="A3" s="8" t="s">
        <v>21</v>
      </c>
      <c r="B3" s="9">
        <f>SUM(Data!E2:E19)</f>
        <v>31</v>
      </c>
      <c r="C3" s="7"/>
    </row>
    <row r="4">
      <c r="A4" s="3" t="s">
        <v>22</v>
      </c>
      <c r="B4" s="9">
        <f>AVERAGE(Data!G2:G19)</f>
        <v>4022.222222</v>
      </c>
      <c r="C4" s="7"/>
    </row>
    <row r="5">
      <c r="A5" s="8" t="s">
        <v>24</v>
      </c>
      <c r="B5" s="9">
        <f>MAX(Data!G2:G19)</f>
        <v>7500</v>
      </c>
      <c r="C5" s="7"/>
    </row>
    <row r="6">
      <c r="A6" s="8" t="s">
        <v>25</v>
      </c>
      <c r="B6" s="9">
        <f>MIN(Data!G2:G19)</f>
        <v>1500</v>
      </c>
      <c r="C6" s="7"/>
    </row>
    <row r="7">
      <c r="A7" s="3" t="s">
        <v>26</v>
      </c>
      <c r="B7" s="10">
        <f>SUMIF(Data!C2:C19,"Lahore",Data!G2:G19)</f>
        <v>24700</v>
      </c>
    </row>
    <row r="8">
      <c r="B8" s="10"/>
    </row>
    <row r="9">
      <c r="B9" s="10"/>
    </row>
    <row r="10">
      <c r="B10" s="10"/>
    </row>
    <row r="11">
      <c r="B11" s="10"/>
    </row>
    <row r="12">
      <c r="B12" s="10"/>
    </row>
    <row r="13">
      <c r="B13" s="10"/>
    </row>
    <row r="14">
      <c r="B14" s="10"/>
    </row>
    <row r="15">
      <c r="B15" s="10"/>
    </row>
    <row r="16">
      <c r="B16" s="10"/>
    </row>
    <row r="17">
      <c r="B17" s="10"/>
    </row>
    <row r="18">
      <c r="B18" s="10"/>
    </row>
    <row r="19">
      <c r="B19" s="10"/>
    </row>
    <row r="20">
      <c r="B20" s="10"/>
    </row>
    <row r="21">
      <c r="B21" s="10"/>
    </row>
    <row r="22">
      <c r="B22" s="10"/>
    </row>
    <row r="23">
      <c r="B23" s="10"/>
    </row>
    <row r="24">
      <c r="B24" s="10"/>
    </row>
    <row r="25">
      <c r="B25" s="10"/>
    </row>
    <row r="26">
      <c r="B26" s="10"/>
    </row>
    <row r="27">
      <c r="B27" s="10"/>
    </row>
    <row r="28">
      <c r="B28" s="10"/>
    </row>
    <row r="29">
      <c r="B29" s="10"/>
    </row>
    <row r="30">
      <c r="B30" s="10"/>
    </row>
    <row r="31">
      <c r="B31" s="10"/>
    </row>
    <row r="32">
      <c r="B32" s="10"/>
    </row>
    <row r="33">
      <c r="B33" s="10"/>
    </row>
    <row r="34">
      <c r="B34" s="10"/>
    </row>
    <row r="35">
      <c r="B35" s="10"/>
    </row>
    <row r="36">
      <c r="B36" s="10"/>
    </row>
    <row r="37">
      <c r="B37" s="10"/>
    </row>
    <row r="38">
      <c r="B38" s="10"/>
    </row>
    <row r="39">
      <c r="B39" s="10"/>
    </row>
    <row r="40">
      <c r="B40" s="10"/>
    </row>
    <row r="41">
      <c r="B41" s="10"/>
    </row>
    <row r="42">
      <c r="B42" s="10"/>
    </row>
    <row r="43">
      <c r="B43" s="10"/>
    </row>
    <row r="44">
      <c r="B44" s="10"/>
    </row>
    <row r="45">
      <c r="B45" s="10"/>
    </row>
    <row r="46">
      <c r="B46" s="10"/>
    </row>
    <row r="47">
      <c r="B47" s="10"/>
    </row>
    <row r="48">
      <c r="B48" s="10"/>
    </row>
    <row r="49">
      <c r="B49" s="10"/>
    </row>
    <row r="50">
      <c r="B50" s="10"/>
    </row>
    <row r="51">
      <c r="B51" s="10"/>
    </row>
    <row r="52">
      <c r="B52" s="10"/>
    </row>
    <row r="53">
      <c r="B53" s="10"/>
    </row>
    <row r="54">
      <c r="B54" s="10"/>
    </row>
    <row r="55">
      <c r="B55" s="10"/>
    </row>
    <row r="56">
      <c r="B56" s="10"/>
    </row>
    <row r="57">
      <c r="B57" s="10"/>
    </row>
    <row r="58">
      <c r="B58" s="10"/>
    </row>
    <row r="59">
      <c r="B59" s="10"/>
    </row>
    <row r="60">
      <c r="B60" s="10"/>
    </row>
    <row r="61">
      <c r="B61" s="10"/>
    </row>
    <row r="62">
      <c r="B62" s="10"/>
    </row>
    <row r="63">
      <c r="B63" s="10"/>
    </row>
    <row r="64">
      <c r="B64" s="10"/>
    </row>
    <row r="65">
      <c r="B65" s="10"/>
    </row>
    <row r="66">
      <c r="B66" s="10"/>
    </row>
    <row r="67">
      <c r="B67" s="10"/>
    </row>
    <row r="68">
      <c r="B68" s="10"/>
    </row>
    <row r="69">
      <c r="B69" s="10"/>
    </row>
    <row r="70">
      <c r="B70" s="10"/>
    </row>
    <row r="71">
      <c r="B71" s="10"/>
    </row>
    <row r="72">
      <c r="B72" s="10"/>
    </row>
    <row r="73">
      <c r="B73" s="10"/>
    </row>
    <row r="74">
      <c r="B74" s="10"/>
    </row>
    <row r="75">
      <c r="B75" s="10"/>
    </row>
    <row r="76">
      <c r="B76" s="10"/>
    </row>
    <row r="77">
      <c r="B77" s="10"/>
    </row>
    <row r="78">
      <c r="B78" s="10"/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30</v>
      </c>
      <c r="B1" s="1" t="s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32</v>
      </c>
      <c r="B2" s="5">
        <f>SUMIFS(Data!G$2:G$19,Data!B$2:B$19,"&gt;="&amp;DATE(2026,7,1),Data!B$2:B$19,"&lt;"&amp;DATE(2026,8,1))</f>
        <v>35800</v>
      </c>
    </row>
    <row r="3">
      <c r="A3" s="3" t="s">
        <v>33</v>
      </c>
      <c r="B3" s="5">
        <f>SUMIFS(Data!G$2:G$19,Data!B$2:B$19,"&gt;="&amp;DATE(2026,8,1),Data!B$2:B$19,"&lt;"&amp;DATE(2026,9,1))</f>
        <v>28100</v>
      </c>
    </row>
    <row r="4">
      <c r="A4" s="3" t="s">
        <v>34</v>
      </c>
      <c r="B4" s="5">
        <f>SUMIFS(Data!G$2:G$19,Data!B$2:B$19,"&gt;="&amp;DATE(2026,8,1),Data!B$2:B$19,"&lt;"&amp;DATE(2026,9,1))</f>
        <v>28100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36</v>
      </c>
      <c r="B2" s="5">
        <f>SUMIF(Data!C$2:C$19,A2,Data!G$2:G$19)</f>
        <v>24700</v>
      </c>
    </row>
    <row r="3">
      <c r="A3" s="3" t="s">
        <v>37</v>
      </c>
      <c r="B3" s="5">
        <f>SUMIF(Data!C$2:C$19,A3,Data!G$2:G$19)</f>
        <v>18900</v>
      </c>
    </row>
    <row r="4">
      <c r="A4" s="3" t="s">
        <v>38</v>
      </c>
      <c r="B4" s="5">
        <f>SUMIF(Data!C$2:C$19,A4,Data!G$2:G$19)</f>
        <v>20600</v>
      </c>
    </row>
    <row r="5">
      <c r="A5" s="3" t="s">
        <v>39</v>
      </c>
      <c r="B5" s="3">
        <v>8200.0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</cols>
  <sheetData>
    <row r="1">
      <c r="A1" s="1" t="s">
        <v>35</v>
      </c>
      <c r="B1" s="1" t="s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5">
        <f>SUMIF(Data!D$2:D$19,A2,Data!G$2:G$19)</f>
        <v>22500</v>
      </c>
    </row>
    <row r="3">
      <c r="A3" s="3" t="s">
        <v>10</v>
      </c>
      <c r="B3" s="5">
        <f>SUMIF(Data!D$2:D$19,A3,Data!G$2:G$19)</f>
        <v>24000</v>
      </c>
    </row>
    <row r="4">
      <c r="A4" s="3" t="s">
        <v>12</v>
      </c>
      <c r="B4" s="5">
        <f>SUMIF(Data!D$2:D$19,A4,Data!G$2:G$19)</f>
        <v>10500</v>
      </c>
    </row>
    <row r="5">
      <c r="A5" s="3" t="s">
        <v>14</v>
      </c>
      <c r="B5" s="5">
        <f>SUMIF(Data!D$2:D$19,A5,Data!G$2:G$19)</f>
        <v>15400</v>
      </c>
    </row>
  </sheetData>
  <drawing r:id="rId1"/>
</worksheet>
</file>